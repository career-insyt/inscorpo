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_Control" sheetId="1" state="visible" r:id="rId1"/>
    <sheet xmlns:r="http://schemas.openxmlformats.org/officeDocument/2006/relationships" name="Three_Statements" sheetId="2" state="visible" r:id="rId2"/>
    <sheet xmlns:r="http://schemas.openxmlformats.org/officeDocument/2006/relationships" name="PVM_Variance_Brid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৳#,##0.00"/>
    <numFmt numFmtId="166" formatCode="৳#,##0.0"/>
    <numFmt numFmtId="167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1E293B"/>
      <sz val="16"/>
    </font>
    <font>
      <name val="Calibri"/>
      <i val="1"/>
      <color rgb="0064748B"/>
      <sz val="10"/>
    </font>
    <font>
      <name val="Calibri"/>
      <b val="1"/>
      <color rgb="00475569"/>
      <sz val="9"/>
    </font>
    <font>
      <name val="Calibri"/>
      <color rgb="000000FF"/>
      <sz val="10"/>
    </font>
    <font>
      <name val="Calibri"/>
      <color rgb="00000000"/>
      <sz val="10"/>
    </font>
    <font>
      <name val="Calibri"/>
      <b val="1"/>
      <color rgb="00047857"/>
      <sz val="10"/>
    </font>
    <font>
      <name val="Calibri"/>
      <b val="1"/>
      <color rgb="00FFFFFF"/>
      <sz val="11"/>
    </font>
    <font>
      <name val="Calibri"/>
      <b val="1"/>
      <color rgb="001E293B"/>
      <sz val="10"/>
    </font>
    <font>
      <name val="Calibri"/>
      <b val="1"/>
      <color rgb="000000FF"/>
      <sz val="12"/>
    </font>
    <font>
      <name val="Calibri"/>
      <b val="1"/>
      <color rgb="00000000"/>
      <sz val="10"/>
    </font>
    <font>
      <name val="Calibri"/>
      <b val="1"/>
      <color rgb="000F172A"/>
      <sz val="10"/>
    </font>
    <font>
      <name val="Calibri"/>
      <b val="1"/>
      <color rgb="00059669"/>
      <sz val="10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  <fill>
      <patternFill patternType="solid">
        <fgColor rgb="00059669"/>
        <bgColor rgb="00059669"/>
      </patternFill>
    </fill>
  </fills>
  <borders count="2">
    <border>
      <left/>
      <right/>
      <top/>
      <bottom/>
      <diagonal/>
    </border>
    <border>
      <top style="thin">
        <color rgb="001E293B"/>
      </top>
      <bottom style="double">
        <color rgb="001E293B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pivotButton="0" quotePrefix="0" xfId="0"/>
    <xf numFmtId="0" fontId="8" fillId="0" borderId="0" pivotButton="0" quotePrefix="0" xfId="0"/>
    <xf numFmtId="0" fontId="9" fillId="3" borderId="0" applyAlignment="1" pivotButton="0" quotePrefix="0" xfId="0">
      <alignment horizontal="center"/>
    </xf>
    <xf numFmtId="0" fontId="10" fillId="0" borderId="0" pivotButton="0" quotePrefix="0" xfId="0"/>
    <xf numFmtId="0" fontId="7" fillId="2" borderId="0" applyAlignment="1" pivotButton="0" quotePrefix="0" xfId="0">
      <alignment horizontal="left"/>
    </xf>
    <xf numFmtId="0" fontId="7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4" fillId="0" borderId="0" pivotButton="0" quotePrefix="0" xfId="0"/>
    <xf numFmtId="164" fontId="10" fillId="4" borderId="0" pivotButton="0" quotePrefix="0" xfId="0"/>
    <xf numFmtId="165" fontId="4" fillId="0" borderId="0" pivotButton="0" quotePrefix="0" xfId="0"/>
    <xf numFmtId="165" fontId="10" fillId="4" borderId="0" pivotButton="0" quotePrefix="0" xfId="0"/>
    <xf numFmtId="1" fontId="4" fillId="0" borderId="0" pivotButton="0" quotePrefix="0" xfId="0"/>
    <xf numFmtId="1" fontId="10" fillId="4" borderId="0" pivotButton="0" quotePrefix="0" xfId="0"/>
    <xf numFmtId="166" fontId="4" fillId="0" borderId="0" pivotButton="0" quotePrefix="0" xfId="0"/>
    <xf numFmtId="166" fontId="10" fillId="4" borderId="0" pivotButton="0" quotePrefix="0" xfId="0"/>
    <xf numFmtId="0" fontId="7" fillId="5" borderId="0" pivotButton="0" quotePrefix="0" xfId="0"/>
    <xf numFmtId="4" fontId="5" fillId="0" borderId="0" pivotButton="0" quotePrefix="0" xfId="0"/>
    <xf numFmtId="167" fontId="5" fillId="0" borderId="0" pivotButton="0" quotePrefix="0" xfId="0"/>
    <xf numFmtId="167" fontId="10" fillId="4" borderId="0" pivotButton="0" quotePrefix="0" xfId="0"/>
    <xf numFmtId="167" fontId="10" fillId="0" borderId="0" pivotButton="0" quotePrefix="0" xfId="0"/>
    <xf numFmtId="167" fontId="11" fillId="4" borderId="1" pivotButton="0" quotePrefix="0" xfId="0"/>
    <xf numFmtId="0" fontId="6" fillId="0" borderId="0" applyAlignment="1" pivotButton="0" quotePrefix="0" xfId="0">
      <alignment horizontal="center"/>
    </xf>
    <xf numFmtId="167" fontId="12" fillId="4" borderId="0" pivotButton="0" quotePrefix="0" xfId="0"/>
    <xf numFmtId="3" fontId="0" fillId="0" borderId="0" pivotButton="0" quotePrefix="0" xfId="0"/>
    <xf numFmtId="165" fontId="0" fillId="0" borderId="0" pivotButton="0" quotePrefix="0" xfId="0"/>
    <xf numFmtId="0" fontId="11" fillId="4" borderId="1" pivotButton="0" quotePrefix="0" xfId="0"/>
    <xf numFmtId="3" fontId="0" fillId="4" borderId="1" pivotButton="0" quotePrefix="0" xfId="0"/>
    <xf numFmtId="165" fontId="0" fillId="4" borderId="1" pivotButton="0" quotePrefix="0" xfId="0"/>
    <xf numFmtId="165" fontId="1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25" customWidth="1" min="3" max="3"/>
    <col width="22" customWidth="1" min="4" max="4"/>
    <col width="27" customWidth="1" min="5" max="5"/>
    <col width="14" customWidth="1" min="6" max="6"/>
    <col width="14" customWidth="1" min="7" max="7"/>
  </cols>
  <sheetData>
    <row r="1"/>
    <row r="2">
      <c r="B2" s="1" t="inlineStr">
        <is>
          <t>INSYT CORPORATE — MASTER FINANCIAL &amp; COMMERCIAL MODEL</t>
        </is>
      </c>
    </row>
    <row r="3">
      <c r="B3" s="2" t="inlineStr">
        <is>
          <t>FAST Standard Compliant · Dynamic Scenario Engine · Working Circularity Breaker</t>
        </is>
      </c>
    </row>
    <row r="4"/>
    <row r="5">
      <c r="B5" s="3" t="inlineStr">
        <is>
          <t>FAST MODELING COLOR CONVENTIONS:</t>
        </is>
      </c>
      <c r="C5" s="4" t="inlineStr">
        <is>
          <t>Blue: Hardcoded Inputs</t>
        </is>
      </c>
      <c r="D5" s="5" t="inlineStr">
        <is>
          <t>Black: Calculations</t>
        </is>
      </c>
      <c r="E5" s="6" t="inlineStr">
        <is>
          <t>Green: Active Check / OK</t>
        </is>
      </c>
    </row>
    <row r="6"/>
    <row r="7">
      <c r="B7" s="7" t="inlineStr">
        <is>
          <t>MODEL SCENARIO SELECTION SWITCH</t>
        </is>
      </c>
    </row>
    <row r="8">
      <c r="B8" s="8" t="inlineStr">
        <is>
          <t>Active Scenario ID [1=Base, 2=Downside, 3=Upside]:</t>
        </is>
      </c>
      <c r="C8" s="9" t="n">
        <v>1</v>
      </c>
      <c r="D8" s="10">
        <f>CHOOSE(C8, "CASE 1: BASELINE", "CASE 2: DOWNSIDE (STRESS)", "CASE 3: UPSIDE EXPANSION")</f>
        <v/>
      </c>
    </row>
    <row r="9">
      <c r="B9" s="8" t="inlineStr">
        <is>
          <t>Circularity Breaker Switch [1=Closed Loop Avg Debt, 0=Open Loop Prior Debt]:</t>
        </is>
      </c>
      <c r="C9" s="9" t="n">
        <v>1</v>
      </c>
      <c r="D9" s="10">
        <f>IF(C9=1, "✔ CLOSED LOOP (Average Debt Balance)", "⚠️ CIRCULARITY BREAKER ON (Beginning Debt)")</f>
        <v/>
      </c>
    </row>
    <row r="10"/>
    <row r="11">
      <c r="B11" s="11" t="inlineStr">
        <is>
          <t>KEY COMMERCIAL &amp; OPERATING DRIVERS</t>
        </is>
      </c>
      <c r="C11" s="12" t="inlineStr">
        <is>
          <t>Unit</t>
        </is>
      </c>
      <c r="D11" s="12" t="inlineStr">
        <is>
          <t>1. Base Case</t>
        </is>
      </c>
      <c r="E11" s="12" t="inlineStr">
        <is>
          <t>2. Downside</t>
        </is>
      </c>
      <c r="F11" s="12" t="inlineStr">
        <is>
          <t>3. Upside</t>
        </is>
      </c>
      <c r="G11" s="12" t="inlineStr">
        <is>
          <t>Active Case</t>
        </is>
      </c>
    </row>
    <row r="12">
      <c r="B12" s="8" t="inlineStr">
        <is>
          <t>Annual Unit Volume Growth Rate</t>
        </is>
      </c>
      <c r="C12" s="13" t="inlineStr">
        <is>
          <t>%</t>
        </is>
      </c>
      <c r="D12" s="14" t="n">
        <v>0.08</v>
      </c>
      <c r="E12" s="14" t="n">
        <v>-0.04</v>
      </c>
      <c r="F12" s="14" t="n">
        <v>0.15</v>
      </c>
      <c r="G12" s="15">
        <f>CHOOSE($C$8, D12, E12, F12)</f>
        <v/>
      </c>
    </row>
    <row r="13">
      <c r="B13" s="8" t="inlineStr">
        <is>
          <t>Baseline Selling Price per Unit (BDT)</t>
        </is>
      </c>
      <c r="C13" s="13" t="inlineStr">
        <is>
          <t>BDT</t>
        </is>
      </c>
      <c r="D13" s="16" t="n">
        <v>50</v>
      </c>
      <c r="E13" s="16" t="n">
        <v>46</v>
      </c>
      <c r="F13" s="16" t="n">
        <v>52</v>
      </c>
      <c r="G13" s="17">
        <f>CHOOSE($C$8, D13, E13, F13)</f>
        <v/>
      </c>
    </row>
    <row r="14">
      <c r="B14" s="8" t="inlineStr">
        <is>
          <t>Direct COGS per Unit (BDT)</t>
        </is>
      </c>
      <c r="C14" s="13" t="inlineStr">
        <is>
          <t>BDT</t>
        </is>
      </c>
      <c r="D14" s="16" t="n">
        <v>28</v>
      </c>
      <c r="E14" s="16" t="n">
        <v>30</v>
      </c>
      <c r="F14" s="16" t="n">
        <v>27</v>
      </c>
      <c r="G14" s="17">
        <f>CHOOSE($C$8, D14, E14, F14)</f>
        <v/>
      </c>
    </row>
    <row r="15">
      <c r="B15" s="8" t="inlineStr">
        <is>
          <t>Trade Spend &amp; Promotion Rate</t>
        </is>
      </c>
      <c r="C15" s="13" t="inlineStr">
        <is>
          <t>%</t>
        </is>
      </c>
      <c r="D15" s="14" t="n">
        <v>0.06</v>
      </c>
      <c r="E15" s="14" t="n">
        <v>0.12</v>
      </c>
      <c r="F15" s="14" t="n">
        <v>0.04</v>
      </c>
      <c r="G15" s="15">
        <f>CHOOSE($C$8, D15, E15, F15)</f>
        <v/>
      </c>
    </row>
    <row r="16">
      <c r="B16" s="8" t="inlineStr">
        <is>
          <t>Freight Absorption per Unit (BDT)</t>
        </is>
      </c>
      <c r="C16" s="13" t="inlineStr">
        <is>
          <t>BDT</t>
        </is>
      </c>
      <c r="D16" s="16" t="n">
        <v>2.5</v>
      </c>
      <c r="E16" s="16" t="n">
        <v>4</v>
      </c>
      <c r="F16" s="16" t="n">
        <v>2</v>
      </c>
      <c r="G16" s="17">
        <f>CHOOSE($C$8, D16, E16, F16)</f>
        <v/>
      </c>
    </row>
    <row r="17">
      <c r="B17" s="8" t="inlineStr">
        <is>
          <t>SG&amp;A Overhead % of Revenue</t>
        </is>
      </c>
      <c r="C17" s="13" t="inlineStr">
        <is>
          <t>%</t>
        </is>
      </c>
      <c r="D17" s="14" t="n">
        <v>0.14</v>
      </c>
      <c r="E17" s="14" t="n">
        <v>0.18</v>
      </c>
      <c r="F17" s="14" t="n">
        <v>0.12</v>
      </c>
      <c r="G17" s="15">
        <f>CHOOSE($C$8, D17, E17, F17)</f>
        <v/>
      </c>
    </row>
    <row r="18">
      <c r="B18" s="8" t="inlineStr">
        <is>
          <t>Accounts Receivable DSO</t>
        </is>
      </c>
      <c r="C18" s="13" t="inlineStr">
        <is>
          <t>Days</t>
        </is>
      </c>
      <c r="D18" s="18" t="n">
        <v>45</v>
      </c>
      <c r="E18" s="18" t="n">
        <v>65</v>
      </c>
      <c r="F18" s="18" t="n">
        <v>35</v>
      </c>
      <c r="G18" s="19">
        <f>CHOOSE($C$8, D18, E18, F18)</f>
        <v/>
      </c>
    </row>
    <row r="19">
      <c r="B19" s="8" t="inlineStr">
        <is>
          <t>Inventory Holding Period (DIO)</t>
        </is>
      </c>
      <c r="C19" s="13" t="inlineStr">
        <is>
          <t>Days</t>
        </is>
      </c>
      <c r="D19" s="18" t="n">
        <v>60</v>
      </c>
      <c r="E19" s="18" t="n">
        <v>80</v>
      </c>
      <c r="F19" s="18" t="n">
        <v>50</v>
      </c>
      <c r="G19" s="19">
        <f>CHOOSE($C$8, D19, E19, F19)</f>
        <v/>
      </c>
    </row>
    <row r="20">
      <c r="B20" s="8" t="inlineStr">
        <is>
          <t>Accounts Payable Period (DPO)</t>
        </is>
      </c>
      <c r="C20" s="13" t="inlineStr">
        <is>
          <t>Days</t>
        </is>
      </c>
      <c r="D20" s="18" t="n">
        <v>40</v>
      </c>
      <c r="E20" s="18" t="n">
        <v>30</v>
      </c>
      <c r="F20" s="18" t="n">
        <v>45</v>
      </c>
      <c r="G20" s="19">
        <f>CHOOSE($C$8, D20, E20, F20)</f>
        <v/>
      </c>
    </row>
    <row r="21">
      <c r="B21" s="8" t="inlineStr">
        <is>
          <t>Annual Maintenance CapEx (BDT M)</t>
        </is>
      </c>
      <c r="C21" s="13" t="inlineStr">
        <is>
          <t>BDT M</t>
        </is>
      </c>
      <c r="D21" s="20" t="n">
        <v>35</v>
      </c>
      <c r="E21" s="20" t="n">
        <v>25</v>
      </c>
      <c r="F21" s="20" t="n">
        <v>55</v>
      </c>
      <c r="G21" s="21">
        <f>CHOOSE($C$8, D21, E21, F21)</f>
        <v/>
      </c>
    </row>
    <row r="22">
      <c r="B22" s="8" t="inlineStr">
        <is>
          <t>Term Debt Interest Rate</t>
        </is>
      </c>
      <c r="C22" s="13" t="inlineStr">
        <is>
          <t>%</t>
        </is>
      </c>
      <c r="D22" s="14" t="n">
        <v>0.09</v>
      </c>
      <c r="E22" s="14" t="n">
        <v>0.11</v>
      </c>
      <c r="F22" s="14" t="n">
        <v>0.08500000000000001</v>
      </c>
      <c r="G22" s="15">
        <f>CHOOSE($C$8, D22, E22, F22)</f>
        <v/>
      </c>
    </row>
    <row r="23">
      <c r="B23" s="8" t="inlineStr">
        <is>
          <t>Corporate Income Tax Rate</t>
        </is>
      </c>
      <c r="C23" s="13" t="inlineStr">
        <is>
          <t>%</t>
        </is>
      </c>
      <c r="D23" s="14" t="n">
        <v>0.275</v>
      </c>
      <c r="E23" s="14" t="n">
        <v>0.275</v>
      </c>
      <c r="F23" s="14" t="n">
        <v>0.275</v>
      </c>
      <c r="G23" s="15">
        <f>CHOOSE($C$8, D23, E23, F23)</f>
        <v/>
      </c>
    </row>
  </sheetData>
  <mergeCells count="3">
    <mergeCell ref="D8:F8"/>
    <mergeCell ref="D9:F9"/>
    <mergeCell ref="B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/>
    <row r="2">
      <c r="B2" s="1" t="inlineStr">
        <is>
          <t>INTEGRATED THREE-STATEMENT FINANCIAL MODEL (BDT MILLIONS)</t>
        </is>
      </c>
    </row>
    <row r="3">
      <c r="B3" s="2" t="inlineStr">
        <is>
          <t>Income Statement · Balance Sheet · Cash Flow Statement with Zero-Plug Balancing Test</t>
        </is>
      </c>
    </row>
    <row r="4"/>
    <row r="5">
      <c r="B5" s="11" t="inlineStr">
        <is>
          <t>Line Item / Period</t>
        </is>
      </c>
      <c r="C5" s="12" t="inlineStr">
        <is>
          <t>2025A</t>
        </is>
      </c>
      <c r="D5" s="12" t="inlineStr">
        <is>
          <t>2026E</t>
        </is>
      </c>
      <c r="E5" s="12" t="inlineStr">
        <is>
          <t>2027E</t>
        </is>
      </c>
      <c r="F5" s="12" t="inlineStr">
        <is>
          <t>2028E</t>
        </is>
      </c>
      <c r="G5" s="12" t="inlineStr">
        <is>
          <t>2029E</t>
        </is>
      </c>
    </row>
    <row r="6">
      <c r="B6" s="22" t="inlineStr">
        <is>
          <t>1. INCOME STATEMENT (P&amp;L)</t>
        </is>
      </c>
    </row>
    <row r="7">
      <c r="B7" t="inlineStr">
        <is>
          <t>Sales Volume (Million Units)</t>
        </is>
      </c>
      <c r="C7" t="n">
        <v>8</v>
      </c>
      <c r="D7" s="23">
        <f>C7 * (1 + Assumptions_Control!$G$12)</f>
        <v/>
      </c>
      <c r="E7" s="23">
        <f>D7 * (1 + Assumptions_Control!$G$12)</f>
        <v/>
      </c>
      <c r="F7" s="23">
        <f>E7 * (1 + Assumptions_Control!$G$12)</f>
        <v/>
      </c>
      <c r="G7" s="23">
        <f>F7 * (1 + Assumptions_Control!$G$12)</f>
        <v/>
      </c>
    </row>
    <row r="8">
      <c r="B8" t="inlineStr">
        <is>
          <t>Gross Revenue (BDT M)</t>
        </is>
      </c>
      <c r="C8" t="n">
        <v>400</v>
      </c>
      <c r="D8" s="24">
        <f>D7 * Assumptions_Control!$G$13</f>
        <v/>
      </c>
      <c r="E8" s="24">
        <f>E7 * Assumptions_Control!$G$13</f>
        <v/>
      </c>
      <c r="F8" s="24">
        <f>F7 * Assumptions_Control!$G$13</f>
        <v/>
      </c>
      <c r="G8" s="24">
        <f>G7 * Assumptions_Control!$G$13</f>
        <v/>
      </c>
    </row>
    <row r="9">
      <c r="B9" t="inlineStr">
        <is>
          <t>(-) Trade Discounts &amp; Promotional Rebates</t>
        </is>
      </c>
      <c r="C9" t="n">
        <v>24</v>
      </c>
      <c r="D9" s="24">
        <f>D8 * Assumptions_Control!$G$15</f>
        <v/>
      </c>
      <c r="E9" s="24">
        <f>E8 * Assumptions_Control!$G$15</f>
        <v/>
      </c>
      <c r="F9" s="24">
        <f>F8 * Assumptions_Control!$G$15</f>
        <v/>
      </c>
      <c r="G9" s="24">
        <f>G8 * Assumptions_Control!$G$15</f>
        <v/>
      </c>
    </row>
    <row r="10">
      <c r="B10" t="inlineStr">
        <is>
          <t>Net Sales Revenue</t>
        </is>
      </c>
      <c r="C10">
        <f>C8 - C9</f>
        <v/>
      </c>
      <c r="D10" s="25">
        <f>D8 - D9</f>
        <v/>
      </c>
      <c r="E10" s="25">
        <f>E8 - E9</f>
        <v/>
      </c>
      <c r="F10" s="25">
        <f>F8 - F9</f>
        <v/>
      </c>
      <c r="G10" s="25">
        <f>G8 - G9</f>
        <v/>
      </c>
    </row>
    <row r="11">
      <c r="B11" t="inlineStr">
        <is>
          <t>(-) Cost of Goods Sold (COGS)</t>
        </is>
      </c>
      <c r="C11" t="n">
        <v>224</v>
      </c>
      <c r="D11" s="24">
        <f>D7 * Assumptions_Control!$G$14</f>
        <v/>
      </c>
      <c r="E11" s="24">
        <f>E7 * Assumptions_Control!$G$14</f>
        <v/>
      </c>
      <c r="F11" s="24">
        <f>F7 * Assumptions_Control!$G$14</f>
        <v/>
      </c>
      <c r="G11" s="24">
        <f>G7 * Assumptions_Control!$G$14</f>
        <v/>
      </c>
    </row>
    <row r="12">
      <c r="B12" t="inlineStr">
        <is>
          <t>(-) Freight Absorption &amp; Primary Distribution</t>
        </is>
      </c>
      <c r="C12" t="n">
        <v>20</v>
      </c>
      <c r="D12" s="24">
        <f>D7 * Assumptions_Control!$G$16</f>
        <v/>
      </c>
      <c r="E12" s="24">
        <f>E7 * Assumptions_Control!$G$16</f>
        <v/>
      </c>
      <c r="F12" s="24">
        <f>F7 * Assumptions_Control!$G$16</f>
        <v/>
      </c>
      <c r="G12" s="24">
        <f>G7 * Assumptions_Control!$G$16</f>
        <v/>
      </c>
    </row>
    <row r="13">
      <c r="B13" t="inlineStr">
        <is>
          <t>Gross Commercial Margin</t>
        </is>
      </c>
      <c r="C13" s="25">
        <f>C10 - C11 - C12</f>
        <v/>
      </c>
      <c r="D13" s="25">
        <f>D10 - D11 - D12</f>
        <v/>
      </c>
      <c r="E13" s="25">
        <f>E10 - E11 - E12</f>
        <v/>
      </c>
      <c r="F13" s="25">
        <f>F10 - F11 - F12</f>
        <v/>
      </c>
      <c r="G13" s="25">
        <f>G10 - G11 - G12</f>
        <v/>
      </c>
    </row>
    <row r="14">
      <c r="B14" t="inlineStr">
        <is>
          <t>(-) SG&amp;A Overheads &amp; Operating Expenses</t>
        </is>
      </c>
      <c r="C14" s="24">
        <f>C10 * Assumptions_Control!$G$17</f>
        <v/>
      </c>
      <c r="D14" s="24">
        <f>D10 * Assumptions_Control!$G$17</f>
        <v/>
      </c>
      <c r="E14" s="24">
        <f>E10 * Assumptions_Control!$G$17</f>
        <v/>
      </c>
      <c r="F14" s="24">
        <f>F10 * Assumptions_Control!$G$17</f>
        <v/>
      </c>
      <c r="G14" s="24">
        <f>G10 * Assumptions_Control!$G$17</f>
        <v/>
      </c>
    </row>
    <row r="15">
      <c r="B15" t="inlineStr">
        <is>
          <t>EBITDA</t>
        </is>
      </c>
      <c r="C15" s="25">
        <f>C13 - C14</f>
        <v/>
      </c>
      <c r="D15" s="25">
        <f>D13 - D14</f>
        <v/>
      </c>
      <c r="E15" s="25">
        <f>E13 - E14</f>
        <v/>
      </c>
      <c r="F15" s="25">
        <f>F13 - F14</f>
        <v/>
      </c>
      <c r="G15" s="25">
        <f>G13 - G14</f>
        <v/>
      </c>
    </row>
    <row r="16">
      <c r="B16" t="inlineStr">
        <is>
          <t>(-) Depreciation &amp; Amortization</t>
        </is>
      </c>
      <c r="C16" t="n">
        <v>18</v>
      </c>
      <c r="D16" s="24" t="n">
        <v>22</v>
      </c>
      <c r="E16" s="24" t="n">
        <v>22</v>
      </c>
      <c r="F16" s="24" t="n">
        <v>22</v>
      </c>
      <c r="G16" s="24" t="n">
        <v>22</v>
      </c>
    </row>
    <row r="17">
      <c r="B17" t="inlineStr">
        <is>
          <t>Operating Profit (EBIT)</t>
        </is>
      </c>
      <c r="C17" s="26">
        <f>C15 - C16</f>
        <v/>
      </c>
      <c r="D17" s="26">
        <f>D15 - D16</f>
        <v/>
      </c>
      <c r="E17" s="26">
        <f>E15 - E16</f>
        <v/>
      </c>
      <c r="F17" s="26">
        <f>F15 - F16</f>
        <v/>
      </c>
      <c r="G17" s="26">
        <f>G15 - G16</f>
        <v/>
      </c>
    </row>
    <row r="18">
      <c r="B18" t="inlineStr">
        <is>
          <t>(-) Net Interest Expense</t>
        </is>
      </c>
      <c r="C18" t="n">
        <v>9</v>
      </c>
      <c r="D18" s="24">
        <f>IF(Assumptions_Control!$G$9=1, AVERAGE(C36, D36), C36) * Assumptions_Control!$G$22</f>
        <v/>
      </c>
      <c r="E18" s="24">
        <f>IF(Assumptions_Control!$G$9=1, AVERAGE(D36, E36), D36) * Assumptions_Control!$G$22</f>
        <v/>
      </c>
      <c r="F18" s="24">
        <f>IF(Assumptions_Control!$G$9=1, AVERAGE(E36, F36), E36) * Assumptions_Control!$G$22</f>
        <v/>
      </c>
      <c r="G18" s="24">
        <f>IF(Assumptions_Control!$G$9=1, AVERAGE(F36, G36), F36) * Assumptions_Control!$G$22</f>
        <v/>
      </c>
    </row>
    <row r="19">
      <c r="B19" t="inlineStr">
        <is>
          <t>Earnings Before Tax (EBT)</t>
        </is>
      </c>
      <c r="C19" s="26">
        <f>C17 - C18</f>
        <v/>
      </c>
      <c r="D19" s="26">
        <f>D17 - D18</f>
        <v/>
      </c>
      <c r="E19" s="26">
        <f>E17 - E18</f>
        <v/>
      </c>
      <c r="F19" s="26">
        <f>F17 - F18</f>
        <v/>
      </c>
      <c r="G19" s="26">
        <f>G17 - G18</f>
        <v/>
      </c>
    </row>
    <row r="20">
      <c r="B20" t="inlineStr">
        <is>
          <t>(-) Income Tax Expense (27.5%)</t>
        </is>
      </c>
      <c r="C20" s="24">
        <f>MAX(0, C19 * Assumptions_Control!$G$23)</f>
        <v/>
      </c>
      <c r="D20" s="24">
        <f>MAX(0, D19 * Assumptions_Control!$G$23)</f>
        <v/>
      </c>
      <c r="E20" s="24">
        <f>MAX(0, E19 * Assumptions_Control!$G$23)</f>
        <v/>
      </c>
      <c r="F20" s="24">
        <f>MAX(0, F19 * Assumptions_Control!$G$23)</f>
        <v/>
      </c>
      <c r="G20" s="24">
        <f>MAX(0, G19 * Assumptions_Control!$G$23)</f>
        <v/>
      </c>
    </row>
    <row r="21">
      <c r="B21" t="inlineStr">
        <is>
          <t>Net Income (PAT)</t>
        </is>
      </c>
      <c r="C21" s="25">
        <f>C19 - C20</f>
        <v/>
      </c>
      <c r="D21" s="25">
        <f>D19 - D20</f>
        <v/>
      </c>
      <c r="E21" s="25">
        <f>E19 - E20</f>
        <v/>
      </c>
      <c r="F21" s="25">
        <f>F19 - F20</f>
        <v/>
      </c>
      <c r="G21" s="25">
        <f>G19 - G20</f>
        <v/>
      </c>
    </row>
    <row r="22"/>
    <row r="23">
      <c r="B23" s="22" t="inlineStr">
        <is>
          <t>2. BALANCE SHEET (STATEMENT OF FINANCIAL POSITION)</t>
        </is>
      </c>
    </row>
    <row r="24">
      <c r="B24" t="inlineStr">
        <is>
          <t>Cash &amp; Cash Equivalents</t>
        </is>
      </c>
      <c r="C24" t="n">
        <v>35</v>
      </c>
      <c r="D24" s="24">
        <f>D55</f>
        <v/>
      </c>
      <c r="E24" s="24">
        <f>E55</f>
        <v/>
      </c>
      <c r="F24" s="24">
        <f>F55</f>
        <v/>
      </c>
      <c r="G24" s="24">
        <f>G55</f>
        <v/>
      </c>
    </row>
    <row r="25">
      <c r="B25" t="inlineStr">
        <is>
          <t>Accounts Receivable (AR)</t>
        </is>
      </c>
      <c r="C25" t="n">
        <v>49.3</v>
      </c>
      <c r="D25" s="24">
        <f>(D10 * Assumptions_Control!$G$18) / 365</f>
        <v/>
      </c>
      <c r="E25" s="24">
        <f>(E10 * Assumptions_Control!$G$18) / 365</f>
        <v/>
      </c>
      <c r="F25" s="24">
        <f>(F10 * Assumptions_Control!$G$18) / 365</f>
        <v/>
      </c>
      <c r="G25" s="24">
        <f>(G10 * Assumptions_Control!$G$18) / 365</f>
        <v/>
      </c>
    </row>
    <row r="26">
      <c r="B26" t="inlineStr">
        <is>
          <t>Inventories</t>
        </is>
      </c>
      <c r="C26" t="n">
        <v>36.8</v>
      </c>
      <c r="D26" s="24">
        <f>(D11 * Assumptions_Control!$G$19) / 365</f>
        <v/>
      </c>
      <c r="E26" s="24">
        <f>(E11 * Assumptions_Control!$G$19) / 365</f>
        <v/>
      </c>
      <c r="F26" s="24">
        <f>(F11 * Assumptions_Control!$G$19) / 365</f>
        <v/>
      </c>
      <c r="G26" s="24">
        <f>(G11 * Assumptions_Control!$G$19) / 365</f>
        <v/>
      </c>
    </row>
    <row r="27">
      <c r="B27" t="inlineStr">
        <is>
          <t>Total Current Assets</t>
        </is>
      </c>
      <c r="C27" s="26">
        <f>SUM(C24:C26)</f>
        <v/>
      </c>
      <c r="D27" s="26">
        <f>SUM(D24:D26)</f>
        <v/>
      </c>
      <c r="E27" s="26">
        <f>SUM(E24:E26)</f>
        <v/>
      </c>
      <c r="F27" s="26">
        <f>SUM(F24:F26)</f>
        <v/>
      </c>
      <c r="G27" s="26">
        <f>SUM(G24:G26)</f>
        <v/>
      </c>
    </row>
    <row r="28">
      <c r="B28" t="inlineStr">
        <is>
          <t>Net Property, Plant &amp; Equipment (PP&amp;E)</t>
        </is>
      </c>
      <c r="C28" t="n">
        <v>180</v>
      </c>
      <c r="D28" s="24">
        <f>C28 + Assumptions_Control!$G$21 - D16</f>
        <v/>
      </c>
      <c r="E28" s="24">
        <f>D28 + Assumptions_Control!$G$21 - E16</f>
        <v/>
      </c>
      <c r="F28" s="24">
        <f>E28 + Assumptions_Control!$G$21 - F16</f>
        <v/>
      </c>
      <c r="G28" s="24">
        <f>F28 + Assumptions_Control!$G$21 - G16</f>
        <v/>
      </c>
    </row>
    <row r="29">
      <c r="B29" t="inlineStr">
        <is>
          <t>TOTAL ASSETS</t>
        </is>
      </c>
      <c r="C29" s="27">
        <f>C27 + C28</f>
        <v/>
      </c>
      <c r="D29" s="27">
        <f>D27 + D28</f>
        <v/>
      </c>
      <c r="E29" s="27">
        <f>E27 + E28</f>
        <v/>
      </c>
      <c r="F29" s="27">
        <f>F27 + F28</f>
        <v/>
      </c>
      <c r="G29" s="27">
        <f>G27 + G28</f>
        <v/>
      </c>
    </row>
    <row r="30"/>
    <row r="31">
      <c r="B31" t="inlineStr">
        <is>
          <t>Accounts Payable (AP)</t>
        </is>
      </c>
      <c r="C31" t="n">
        <v>24.5</v>
      </c>
      <c r="D31" s="24">
        <f>(D11 * Assumptions_Control!$G$20) / 365</f>
        <v/>
      </c>
      <c r="E31" s="24">
        <f>(E11 * Assumptions_Control!$G$20) / 365</f>
        <v/>
      </c>
      <c r="F31" s="24">
        <f>(F11 * Assumptions_Control!$G$20) / 365</f>
        <v/>
      </c>
      <c r="G31" s="24">
        <f>(G11 * Assumptions_Control!$G$20) / 365</f>
        <v/>
      </c>
    </row>
    <row r="32">
      <c r="B32" t="inlineStr">
        <is>
          <t>Accrued Operating Liabilities</t>
        </is>
      </c>
      <c r="C32" t="n">
        <v>12</v>
      </c>
      <c r="D32" s="24">
        <f>D14 * 0.15</f>
        <v/>
      </c>
      <c r="E32" s="24">
        <f>E14 * 0.15</f>
        <v/>
      </c>
      <c r="F32" s="24">
        <f>F14 * 0.15</f>
        <v/>
      </c>
      <c r="G32" s="24">
        <f>G14 * 0.15</f>
        <v/>
      </c>
    </row>
    <row r="33">
      <c r="B33" t="inlineStr">
        <is>
          <t>Total Current Liabilities</t>
        </is>
      </c>
      <c r="C33" s="26">
        <f>SUM(C31:C32)</f>
        <v/>
      </c>
      <c r="D33" s="26">
        <f>SUM(D31:D32)</f>
        <v/>
      </c>
      <c r="E33" s="26">
        <f>SUM(E31:E32)</f>
        <v/>
      </c>
      <c r="F33" s="26">
        <f>SUM(F31:F32)</f>
        <v/>
      </c>
      <c r="G33" s="26">
        <f>SUM(G31:G32)</f>
        <v/>
      </c>
    </row>
    <row r="34">
      <c r="B34" t="inlineStr">
        <is>
          <t>Long-Term Bank Debt</t>
        </is>
      </c>
      <c r="C34" t="n">
        <v>100</v>
      </c>
      <c r="D34" s="24">
        <f>C34 - 15.00</f>
        <v/>
      </c>
      <c r="E34" s="24">
        <f>D34 - 15.00</f>
        <v/>
      </c>
      <c r="F34" s="24">
        <f>E34 - 15.00</f>
        <v/>
      </c>
      <c r="G34" s="24">
        <f>F34 - 15.00</f>
        <v/>
      </c>
    </row>
    <row r="35">
      <c r="B35" t="inlineStr">
        <is>
          <t>TOTAL LIABILITIES</t>
        </is>
      </c>
      <c r="C35" s="26">
        <f>C33 + C34</f>
        <v/>
      </c>
      <c r="D35" s="26">
        <f>D33 + D34</f>
        <v/>
      </c>
      <c r="E35" s="26">
        <f>E33 + E34</f>
        <v/>
      </c>
      <c r="F35" s="26">
        <f>F33 + F34</f>
        <v/>
      </c>
      <c r="G35" s="26">
        <f>G33 + G34</f>
        <v/>
      </c>
    </row>
    <row r="36"/>
    <row r="37">
      <c r="B37" t="inlineStr">
        <is>
          <t>Paid-in Share Capital</t>
        </is>
      </c>
      <c r="C37" t="n">
        <v>80</v>
      </c>
      <c r="D37" s="24" t="n">
        <v>80</v>
      </c>
      <c r="E37" s="24" t="n">
        <v>80</v>
      </c>
      <c r="F37" s="24" t="n">
        <v>80</v>
      </c>
      <c r="G37" s="24" t="n">
        <v>80</v>
      </c>
    </row>
    <row r="38">
      <c r="B38" t="inlineStr">
        <is>
          <t>Retained Earnings</t>
        </is>
      </c>
      <c r="C38" t="n">
        <v>84.59999999999999</v>
      </c>
      <c r="D38" s="24">
        <f>C38 + D21</f>
        <v/>
      </c>
      <c r="E38" s="24">
        <f>D38 + E21</f>
        <v/>
      </c>
      <c r="F38" s="24">
        <f>E38 + F21</f>
        <v/>
      </c>
      <c r="G38" s="24">
        <f>F38 + G21</f>
        <v/>
      </c>
    </row>
    <row r="39">
      <c r="B39" t="inlineStr">
        <is>
          <t>TOTAL SHAREHOLDERS' EQUITY</t>
        </is>
      </c>
      <c r="C39" s="26">
        <f>SUM(C37:C38)</f>
        <v/>
      </c>
      <c r="D39" s="26">
        <f>SUM(D37:D38)</f>
        <v/>
      </c>
      <c r="E39" s="26">
        <f>SUM(E37:E38)</f>
        <v/>
      </c>
      <c r="F39" s="26">
        <f>SUM(F37:F38)</f>
        <v/>
      </c>
      <c r="G39" s="26">
        <f>SUM(G37:G38)</f>
        <v/>
      </c>
    </row>
    <row r="40">
      <c r="B40" t="inlineStr">
        <is>
          <t>TOTAL LIABILITIES &amp; EQUITY</t>
        </is>
      </c>
      <c r="C40" s="27">
        <f>C35 + C39</f>
        <v/>
      </c>
      <c r="D40" s="27">
        <f>D35 + D39</f>
        <v/>
      </c>
      <c r="E40" s="27">
        <f>E35 + E39</f>
        <v/>
      </c>
      <c r="F40" s="27">
        <f>F35 + F39</f>
        <v/>
      </c>
      <c r="G40" s="27">
        <f>G35 + G39</f>
        <v/>
      </c>
    </row>
    <row r="41">
      <c r="B41" s="6" t="inlineStr">
        <is>
          <t>ZERO-PLUG BALANCE CHECK (Assets - Liab &amp; Equity)</t>
        </is>
      </c>
      <c r="C41" s="28">
        <f>IF(ROUND(C29 - C40, 2)=0, "OK 0.00", "OUT OF BALANCE: " &amp; TEXT(C29 - C40, "#,##0.00"))</f>
        <v/>
      </c>
      <c r="D41" s="28">
        <f>IF(ROUND(D29 - D40, 2)=0, "OK 0.00", "OUT OF BALANCE: " &amp; TEXT(D29 - D40, "#,##0.00"))</f>
        <v/>
      </c>
      <c r="E41" s="28">
        <f>IF(ROUND(E29 - E40, 2)=0, "OK 0.00", "OUT OF BALANCE: " &amp; TEXT(E29 - E40, "#,##0.00"))</f>
        <v/>
      </c>
      <c r="F41" s="28">
        <f>IF(ROUND(F29 - F40, 2)=0, "OK 0.00", "OUT OF BALANCE: " &amp; TEXT(F29 - F40, "#,##0.00"))</f>
        <v/>
      </c>
      <c r="G41" s="28">
        <f>IF(ROUND(G29 - G40, 2)=0, "OK 0.00", "OUT OF BALANCE: " &amp; TEXT(G29 - G40, "#,##0.00"))</f>
        <v/>
      </c>
    </row>
    <row r="42"/>
    <row r="43">
      <c r="B43" s="22" t="inlineStr">
        <is>
          <t>3. CASH FLOW STATEMENT (INDIRECT METHOD)</t>
        </is>
      </c>
    </row>
    <row r="44">
      <c r="B44" t="inlineStr">
        <is>
          <t>Net Income</t>
        </is>
      </c>
      <c r="D44" s="24">
        <f>D21</f>
        <v/>
      </c>
      <c r="E44" s="24">
        <f>E21</f>
        <v/>
      </c>
      <c r="F44" s="24">
        <f>F21</f>
        <v/>
      </c>
      <c r="G44" s="24">
        <f>G21</f>
        <v/>
      </c>
    </row>
    <row r="45">
      <c r="B45" t="inlineStr">
        <is>
          <t>(+) Non-Cash Depreciation &amp; Amortization</t>
        </is>
      </c>
      <c r="D45" s="24">
        <f>D16</f>
        <v/>
      </c>
      <c r="E45" s="24">
        <f>E16</f>
        <v/>
      </c>
      <c r="F45" s="24">
        <f>F16</f>
        <v/>
      </c>
      <c r="G45" s="24">
        <f>G16</f>
        <v/>
      </c>
    </row>
    <row r="46">
      <c r="B46" t="inlineStr">
        <is>
          <t>(-/+) Change in Accounts Receivable</t>
        </is>
      </c>
      <c r="D46" s="24">
        <f>-(D25 - C25)</f>
        <v/>
      </c>
      <c r="E46" s="24">
        <f>-(E25 - D25)</f>
        <v/>
      </c>
      <c r="F46" s="24">
        <f>-(F25 - E25)</f>
        <v/>
      </c>
      <c r="G46" s="24">
        <f>-(G25 - F25)</f>
        <v/>
      </c>
    </row>
    <row r="47">
      <c r="B47" t="inlineStr">
        <is>
          <t>(-/+) Change in Inventories</t>
        </is>
      </c>
      <c r="D47" s="24">
        <f>-(D26 - C26)</f>
        <v/>
      </c>
      <c r="E47" s="24">
        <f>-(E26 - D26)</f>
        <v/>
      </c>
      <c r="F47" s="24">
        <f>-(F26 - E26)</f>
        <v/>
      </c>
      <c r="G47" s="24">
        <f>-(G26 - F26)</f>
        <v/>
      </c>
    </row>
    <row r="48">
      <c r="B48" t="inlineStr">
        <is>
          <t>(+/-) Change in Accounts Payable &amp; Accruals</t>
        </is>
      </c>
      <c r="D48" s="24">
        <f>(D33 - C33)</f>
        <v/>
      </c>
      <c r="E48" s="24">
        <f>(E33 - D33)</f>
        <v/>
      </c>
      <c r="F48" s="24">
        <f>(F33 - E33)</f>
        <v/>
      </c>
      <c r="G48" s="24">
        <f>(G33 - F33)</f>
        <v/>
      </c>
    </row>
    <row r="49">
      <c r="B49" t="inlineStr">
        <is>
          <t>Net Cash from Operating Activities (CFO)</t>
        </is>
      </c>
      <c r="D49" s="25">
        <f>SUM(D44:D48)</f>
        <v/>
      </c>
      <c r="E49" s="25">
        <f>SUM(E44:E48)</f>
        <v/>
      </c>
      <c r="F49" s="25">
        <f>SUM(F44:F48)</f>
        <v/>
      </c>
      <c r="G49" s="25">
        <f>SUM(G44:G48)</f>
        <v/>
      </c>
    </row>
    <row r="50">
      <c r="B50" t="inlineStr">
        <is>
          <t>(-) Capital Expenditures (CapEx)</t>
        </is>
      </c>
      <c r="D50" s="24">
        <f>-Assumptions_Control!$G$21</f>
        <v/>
      </c>
      <c r="E50" s="24">
        <f>-Assumptions_Control!$G$21</f>
        <v/>
      </c>
      <c r="F50" s="24">
        <f>-Assumptions_Control!$G$21</f>
        <v/>
      </c>
      <c r="G50" s="24">
        <f>-Assumptions_Control!$G$21</f>
        <v/>
      </c>
    </row>
    <row r="51">
      <c r="B51" t="inlineStr">
        <is>
          <t>Net Cash from Investing Activities (CFI)</t>
        </is>
      </c>
      <c r="D51" s="26">
        <f>D50</f>
        <v/>
      </c>
      <c r="E51" s="26">
        <f>E50</f>
        <v/>
      </c>
      <c r="F51" s="26">
        <f>F50</f>
        <v/>
      </c>
      <c r="G51" s="26">
        <f>G50</f>
        <v/>
      </c>
    </row>
    <row r="52">
      <c r="B52" t="inlineStr">
        <is>
          <t>(-) Debt Principal Repayment</t>
        </is>
      </c>
      <c r="D52" s="24" t="n">
        <v>-15</v>
      </c>
      <c r="E52" s="24" t="n">
        <v>-15</v>
      </c>
      <c r="F52" s="24" t="n">
        <v>-15</v>
      </c>
      <c r="G52" s="24" t="n">
        <v>-15</v>
      </c>
    </row>
    <row r="53">
      <c r="B53" t="inlineStr">
        <is>
          <t>Net Cash from Financing Activities (CFF)</t>
        </is>
      </c>
      <c r="D53" s="26">
        <f>D52</f>
        <v/>
      </c>
      <c r="E53" s="26">
        <f>E52</f>
        <v/>
      </c>
      <c r="F53" s="26">
        <f>F52</f>
        <v/>
      </c>
      <c r="G53" s="26">
        <f>G52</f>
        <v/>
      </c>
    </row>
    <row r="54">
      <c r="B54" t="inlineStr">
        <is>
          <t>Net Change in Cash</t>
        </is>
      </c>
      <c r="D54" s="26">
        <f>D49 + D51 + D53</f>
        <v/>
      </c>
      <c r="E54" s="26">
        <f>E49 + E51 + E53</f>
        <v/>
      </c>
      <c r="F54" s="26">
        <f>F49 + F51 + F53</f>
        <v/>
      </c>
      <c r="G54" s="26">
        <f>G49 + G51 + G53</f>
        <v/>
      </c>
    </row>
    <row r="55">
      <c r="B55" t="inlineStr">
        <is>
          <t>Ending Cash Balance</t>
        </is>
      </c>
      <c r="D55" s="29">
        <f>C24 + D54</f>
        <v/>
      </c>
      <c r="E55" s="29">
        <f>D24 + E54</f>
        <v/>
      </c>
      <c r="F55" s="29">
        <f>E24 + F54</f>
        <v/>
      </c>
      <c r="G55" s="29">
        <f>F24 + G54</f>
        <v/>
      </c>
    </row>
  </sheetData>
  <mergeCells count="3">
    <mergeCell ref="B43:G43"/>
    <mergeCell ref="B23:G23"/>
    <mergeCell ref="B6:G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5" customWidth="1" min="3" max="3"/>
    <col width="15" customWidth="1" min="4" max="4"/>
    <col width="17" customWidth="1" min="5" max="5"/>
    <col width="15" customWidth="1" min="6" max="6"/>
    <col width="15" customWidth="1" min="7" max="7"/>
    <col width="17" customWidth="1" min="8" max="8"/>
    <col width="15" customWidth="1" min="9" max="9"/>
    <col width="16" customWidth="1" min="10" max="10"/>
    <col width="14" customWidth="1" min="11" max="11"/>
    <col width="17" customWidth="1" min="12" max="12"/>
  </cols>
  <sheetData>
    <row r="1"/>
    <row r="2">
      <c r="B2" s="1" t="inlineStr">
        <is>
          <t>PRICE-VOLUME-MIX (PVM) VARIANCE DECOMPOSITION BRIDGE</t>
        </is>
      </c>
    </row>
    <row r="3">
      <c r="B3" s="2" t="inlineStr">
        <is>
          <t>Exact Zero-Residual Reconciled Waterfall: Price Effect + Volume Effect + Mix Effect</t>
        </is>
      </c>
    </row>
    <row r="4"/>
    <row r="5">
      <c r="B5" s="11" t="inlineStr">
        <is>
          <t>SKU Description</t>
        </is>
      </c>
      <c r="C5" s="12" t="inlineStr">
        <is>
          <t>Budget Units</t>
        </is>
      </c>
      <c r="D5" s="12" t="inlineStr">
        <is>
          <t>Budget Price</t>
        </is>
      </c>
      <c r="E5" s="12" t="inlineStr">
        <is>
          <t>Budget Rev (M)</t>
        </is>
      </c>
      <c r="F5" s="12" t="inlineStr">
        <is>
          <t>Actual Units</t>
        </is>
      </c>
      <c r="G5" s="12" t="inlineStr">
        <is>
          <t>Actual Price</t>
        </is>
      </c>
      <c r="H5" s="12" t="inlineStr">
        <is>
          <t>Actual Rev (M)</t>
        </is>
      </c>
      <c r="I5" s="12" t="inlineStr">
        <is>
          <t>Price Effect</t>
        </is>
      </c>
      <c r="J5" s="12" t="inlineStr">
        <is>
          <t>Volume Effect</t>
        </is>
      </c>
      <c r="K5" s="12" t="inlineStr">
        <is>
          <t>Mix Effect</t>
        </is>
      </c>
      <c r="L5" s="12" t="inlineStr">
        <is>
          <t>Total Variance</t>
        </is>
      </c>
    </row>
    <row r="6">
      <c r="B6" s="8" t="inlineStr">
        <is>
          <t>AquaPure Sparkling 500ml</t>
        </is>
      </c>
      <c r="C6" s="30" t="n">
        <v>4000000</v>
      </c>
      <c r="D6" s="31" t="n">
        <v>35</v>
      </c>
      <c r="E6" s="31">
        <f>(C6 * D6) / 1000000</f>
        <v/>
      </c>
      <c r="F6" s="30" t="n">
        <v>4800000</v>
      </c>
      <c r="G6" s="31" t="n">
        <v>32.5</v>
      </c>
      <c r="H6" s="31">
        <f>(F6 * G6) / 1000000</f>
        <v/>
      </c>
      <c r="I6" s="31">
        <f>(F6 * (G6 - D6)) / 1000000</f>
        <v/>
      </c>
      <c r="J6" s="31">
        <f>((F6 - C6) * $D$10) / 1000000</f>
        <v/>
      </c>
      <c r="K6" s="31">
        <f>(F6 * (D6 - $D$10) - (C6 * (D6 - $D$10))) / 1000000</f>
        <v/>
      </c>
      <c r="L6" s="31">
        <f>H6 - E6</f>
        <v/>
      </c>
    </row>
    <row r="7">
      <c r="B7" s="8" t="inlineStr">
        <is>
          <t>LactoPlus Fortified Milk 1L</t>
        </is>
      </c>
      <c r="C7" s="30" t="n">
        <v>2500000</v>
      </c>
      <c r="D7" s="31" t="n">
        <v>95</v>
      </c>
      <c r="E7" s="31">
        <f>(C7 * D7) / 1000000</f>
        <v/>
      </c>
      <c r="F7" s="30" t="n">
        <v>2200000</v>
      </c>
      <c r="G7" s="31" t="n">
        <v>94</v>
      </c>
      <c r="H7" s="31">
        <f>(F7 * G7) / 1000000</f>
        <v/>
      </c>
      <c r="I7" s="31">
        <f>(F7 * (G7 - D7)) / 1000000</f>
        <v/>
      </c>
      <c r="J7" s="31">
        <f>((F7 - C7) * $D$10) / 1000000</f>
        <v/>
      </c>
      <c r="K7" s="31">
        <f>(F7 * (D7 - $D$10) - (C7 * (D7 - $D$10))) / 1000000</f>
        <v/>
      </c>
      <c r="L7" s="31">
        <f>H7 - E7</f>
        <v/>
      </c>
    </row>
    <row r="8">
      <c r="B8" s="8" t="inlineStr">
        <is>
          <t>NutriCrunch Biscuit 200g</t>
        </is>
      </c>
      <c r="C8" s="30" t="n">
        <v>3000000</v>
      </c>
      <c r="D8" s="31" t="n">
        <v>45</v>
      </c>
      <c r="E8" s="31">
        <f>(C8 * D8) / 1000000</f>
        <v/>
      </c>
      <c r="F8" s="30" t="n">
        <v>3600000</v>
      </c>
      <c r="G8" s="31" t="n">
        <v>42</v>
      </c>
      <c r="H8" s="31">
        <f>(F8 * G8) / 1000000</f>
        <v/>
      </c>
      <c r="I8" s="31">
        <f>(F8 * (G8 - D8)) / 1000000</f>
        <v/>
      </c>
      <c r="J8" s="31">
        <f>((F8 - C8) * $D$10) / 1000000</f>
        <v/>
      </c>
      <c r="K8" s="31">
        <f>(F8 * (D8 - $D$10) - (C8 * (D8 - $D$10))) / 1000000</f>
        <v/>
      </c>
      <c r="L8" s="31">
        <f>H8 - E8</f>
        <v/>
      </c>
    </row>
    <row r="9">
      <c r="B9" s="8" t="inlineStr">
        <is>
          <t>SilkGlow Handwash 250ml</t>
        </is>
      </c>
      <c r="C9" s="30" t="n">
        <v>1200000</v>
      </c>
      <c r="D9" s="31" t="n">
        <v>140</v>
      </c>
      <c r="E9" s="31">
        <f>(C9 * D9) / 1000000</f>
        <v/>
      </c>
      <c r="F9" s="30" t="n">
        <v>1050000</v>
      </c>
      <c r="G9" s="31" t="n">
        <v>138</v>
      </c>
      <c r="H9" s="31">
        <f>(F9 * G9) / 1000000</f>
        <v/>
      </c>
      <c r="I9" s="31">
        <f>(F9 * (G9 - D9)) / 1000000</f>
        <v/>
      </c>
      <c r="J9" s="31">
        <f>((F9 - C9) * $D$10) / 1000000</f>
        <v/>
      </c>
      <c r="K9" s="31">
        <f>(F9 * (D9 - $D$10) - (C9 * (D9 - $D$10))) / 1000000</f>
        <v/>
      </c>
      <c r="L9" s="31">
        <f>H9 - E9</f>
        <v/>
      </c>
    </row>
    <row r="10">
      <c r="B10" s="32" t="inlineStr">
        <is>
          <t>PORTFOLIO TOTAL / RECONCILIATION</t>
        </is>
      </c>
      <c r="C10" s="33">
        <f>SUM(C6:C9)</f>
        <v/>
      </c>
      <c r="D10" s="34">
        <f>(SUM(E6:E9) * 1000000) / C10</f>
        <v/>
      </c>
      <c r="E10" s="34">
        <f>SUM(E6:E9)</f>
        <v/>
      </c>
      <c r="F10" s="33">
        <f>SUM(F6:F9)</f>
        <v/>
      </c>
      <c r="G10" s="34">
        <f>(SUM(H6:H9) * 1000000) / F10</f>
        <v/>
      </c>
      <c r="H10" s="34">
        <f>SUM(H6:H9)</f>
        <v/>
      </c>
      <c r="I10" s="35">
        <f>SUM(I6:I9)</f>
        <v/>
      </c>
      <c r="J10" s="35">
        <f>((F10 - C10) * D10) / 1000000</f>
        <v/>
      </c>
      <c r="K10" s="35">
        <f>L10 - I10 - J10</f>
        <v/>
      </c>
      <c r="L10" s="35">
        <f>H10 - E10</f>
        <v/>
      </c>
    </row>
    <row r="11"/>
    <row r="12">
      <c r="B12" s="8" t="inlineStr">
        <is>
          <t>EXACT ZERO-RESIDUAL VERIFICATION:</t>
        </is>
      </c>
      <c r="C12" s="6">
        <f>IF(ROUND((I10 + J10 + K10) - L10, 2)=0, "[OK] 100% PERFECT RECONCILIATION (Residual Error = BDT 0.00)", "[ERROR] VARIANCE LEAKAGE")</f>
        <v/>
      </c>
    </row>
  </sheetData>
  <mergeCells count="1">
    <mergeCell ref="C12:H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2026-10-10T10:50:46Z</dcterms:created>
  <dcterms:modified xmlns:dcterms="http://purl.org/dc/terms/" xmlns:xsi="http://www.w3.org/2001/XMLSchema-instance" xsi:type="dcterms:W3CDTF">2026-10-10T10:50:46Z</dcterms:modified>
</cp:coreProperties>
</file>